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dya\Downloads\"/>
    </mc:Choice>
  </mc:AlternateContent>
  <xr:revisionPtr revIDLastSave="0" documentId="8_{A1BB54C4-EDDF-42AD-8E01-D642C2A8B9BD}" xr6:coauthVersionLast="47" xr6:coauthVersionMax="47" xr10:uidLastSave="{00000000-0000-0000-0000-000000000000}"/>
  <bookViews>
    <workbookView xWindow="-110" yWindow="-110" windowWidth="19420" windowHeight="11500" xr2:uid="{168113FD-0AFD-42B0-975B-950F22A826ED}"/>
  </bookViews>
  <sheets>
    <sheet name="Employee_Salary_Dataset" sheetId="2" r:id="rId1"/>
    <sheet name="Pivot Tables" sheetId="3" r:id="rId2"/>
    <sheet name="Dashboard" sheetId="1" r:id="rId3"/>
  </sheets>
  <definedNames>
    <definedName name="ExternalData_1" localSheetId="0" hidden="1">Employee_Salary_Dataset!$A$1:$E$36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" l="1"/>
  <c r="J24" i="2"/>
  <c r="J25" i="2"/>
  <c r="J12" i="2"/>
  <c r="J11" i="2"/>
  <c r="K8" i="2"/>
  <c r="K9" i="2"/>
  <c r="K6" i="2"/>
  <c r="K5" i="2"/>
  <c r="J3" i="2"/>
  <c r="J2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923309-5256-4F76-AB8D-29EE07920229}" keepAlive="1" name="Query - Employee_Salary_Dataset" description="Connection to the 'Employee_Salary_Dataset' query in the workbook." type="5" refreshedVersion="8" background="1" saveData="1">
    <dbPr connection="Provider=Microsoft.Mashup.OleDb.1;Data Source=$Workbook$;Location=Employee_Salary_Dataset;Extended Properties=&quot;&quot;" command="SELECT * FROM [Employee_Salary_Dataset]"/>
  </connection>
</connections>
</file>

<file path=xl/sharedStrings.xml><?xml version="1.0" encoding="utf-8"?>
<sst xmlns="http://schemas.openxmlformats.org/spreadsheetml/2006/main" count="78" uniqueCount="35">
  <si>
    <t>ID</t>
  </si>
  <si>
    <t>Experience_Years</t>
  </si>
  <si>
    <t>Age</t>
  </si>
  <si>
    <t>Gender</t>
  </si>
  <si>
    <t>Salary</t>
  </si>
  <si>
    <t>Female</t>
  </si>
  <si>
    <t>Male</t>
  </si>
  <si>
    <t>Salary Category</t>
  </si>
  <si>
    <t>Eligibility for Promotion</t>
  </si>
  <si>
    <t>Total Males:</t>
  </si>
  <si>
    <t xml:space="preserve">Total Females: </t>
  </si>
  <si>
    <t>Average salary of males:</t>
  </si>
  <si>
    <t>Average salary of females:</t>
  </si>
  <si>
    <t>Total Male Salary:</t>
  </si>
  <si>
    <t>Total Female Salary:</t>
  </si>
  <si>
    <t>Highest Salary:</t>
  </si>
  <si>
    <t>Lowest Salary:</t>
  </si>
  <si>
    <t>Average salary of employees</t>
  </si>
  <si>
    <t>Which gender earns more on average</t>
  </si>
  <si>
    <t>How many employees are eligible for promotion</t>
  </si>
  <si>
    <t>Points Covered:</t>
  </si>
  <si>
    <t>Salary distribution (Low/Medium/High</t>
  </si>
  <si>
    <t>Highest and lowest salary in dataset</t>
  </si>
  <si>
    <t>Count</t>
  </si>
  <si>
    <t>High</t>
  </si>
  <si>
    <t>Medium</t>
  </si>
  <si>
    <t>Low</t>
  </si>
  <si>
    <t xml:space="preserve">Salary Category </t>
  </si>
  <si>
    <t xml:space="preserve">PS: Scroll Down For Charts </t>
  </si>
  <si>
    <r>
      <rPr>
        <b/>
        <u/>
        <sz val="26"/>
        <color theme="6" tint="0.39997558519241921"/>
        <rFont val="Arial Black"/>
        <family val="2"/>
      </rPr>
      <t>Charts</t>
    </r>
    <r>
      <rPr>
        <b/>
        <sz val="26"/>
        <color theme="1"/>
        <rFont val="Arial Black"/>
        <family val="2"/>
      </rPr>
      <t xml:space="preserve"> </t>
    </r>
  </si>
  <si>
    <t>Grand Total</t>
  </si>
  <si>
    <t>Average of Salary</t>
  </si>
  <si>
    <t>Count of Salary</t>
  </si>
  <si>
    <t>Experience</t>
  </si>
  <si>
    <t xml:space="preserve">Employee Salary data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</si>
</sst>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Bahnschrift SemiBold"/>
      <family val="2"/>
    </font>
    <font>
      <b/>
      <sz val="26"/>
      <color theme="1"/>
      <name val="Arial Black"/>
      <family val="2"/>
    </font>
    <font>
      <b/>
      <u/>
      <sz val="26"/>
      <color theme="6" tint="0.39997558519241921"/>
      <name val="Arial Black"/>
      <family val="2"/>
    </font>
    <font>
      <b/>
      <u/>
      <sz val="18"/>
      <color theme="1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44" fontId="0" fillId="2" borderId="1" xfId="1" applyFont="1" applyFill="1" applyBorder="1"/>
    <xf numFmtId="0" fontId="2" fillId="0" borderId="0" xfId="0" applyFont="1"/>
    <xf numFmtId="0" fontId="0" fillId="3" borderId="1" xfId="0" applyFill="1" applyBorder="1"/>
    <xf numFmtId="0" fontId="2" fillId="3" borderId="1" xfId="0" applyFont="1" applyFill="1" applyBorder="1"/>
    <xf numFmtId="0" fontId="5" fillId="3" borderId="1" xfId="0" applyFont="1" applyFill="1" applyBorder="1"/>
    <xf numFmtId="0" fontId="4" fillId="4" borderId="0" xfId="0" applyFont="1" applyFill="1"/>
    <xf numFmtId="0" fontId="2" fillId="0" borderId="0" xfId="0" applyFont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2" fillId="6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164" fontId="0" fillId="2" borderId="1" xfId="0" applyNumberFormat="1" applyFill="1" applyBorder="1" applyAlignment="1">
      <alignment horizontal="left"/>
    </xf>
    <xf numFmtId="0" fontId="8" fillId="7" borderId="0" xfId="0" applyFont="1" applyFill="1" applyAlignment="1">
      <alignment horizontal="center"/>
    </xf>
    <xf numFmtId="2" fontId="0" fillId="5" borderId="1" xfId="0" applyNumberFormat="1" applyFill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4"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Salary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Employee_Salary_Dataset!$I$5:$I$6</c:f>
              <c:strCache>
                <c:ptCount val="2"/>
                <c:pt idx="0">
                  <c:v>Average salary of males:</c:v>
                </c:pt>
                <c:pt idx="1">
                  <c:v>Average salary of females:</c:v>
                </c:pt>
              </c:strCache>
            </c:strRef>
          </c:cat>
          <c:val>
            <c:numRef>
              <c:f>Employee_Salary_Dataset!$K$5:$K$6</c:f>
              <c:numCache>
                <c:formatCode>"₹"\ #,##0.00</c:formatCode>
                <c:ptCount val="2"/>
                <c:pt idx="0">
                  <c:v>2063626.4705882352</c:v>
                </c:pt>
                <c:pt idx="1">
                  <c:v>2054916.6666666667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48-4CC1-B6C9-F1BA287E7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452655"/>
        <c:axId val="1684502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Employee_Salary_Dataset!$I$5:$I$6</c15:sqref>
                        </c15:formulaRef>
                      </c:ext>
                    </c:extLst>
                    <c:strCache>
                      <c:ptCount val="2"/>
                      <c:pt idx="0">
                        <c:v>Average salary of males:</c:v>
                      </c:pt>
                      <c:pt idx="1">
                        <c:v>Average salary of females: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Employee_Salary_Dataset!$J$5:$J$6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C48-4CC1-B6C9-F1BA287E77E2}"/>
                  </c:ext>
                </c:extLst>
              </c15:ser>
            </c15:filteredBarSeries>
          </c:ext>
        </c:extLst>
      </c:barChart>
      <c:catAx>
        <c:axId val="16845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50255"/>
        <c:crosses val="autoZero"/>
        <c:auto val="1"/>
        <c:lblAlgn val="ctr"/>
        <c:lblOffset val="100"/>
        <c:noMultiLvlLbl val="0"/>
      </c:catAx>
      <c:valAx>
        <c:axId val="1684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5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Salary Category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Employee_Salary_Dataset!$J$22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DF75-4B71-8FD6-728930762B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DF75-4B71-8FD6-728930762B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DF75-4B71-8FD6-728930762BB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F75-4B71-8FD6-728930762BB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DF75-4B71-8FD6-728930762BB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F75-4B71-8FD6-728930762BB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Employee_Salary_Dataset!$H$23:$I$25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Employee_Salary_Dataset!$J$23:$J$25</c:f>
              <c:numCache>
                <c:formatCode>0.00</c:formatCode>
                <c:ptCount val="3"/>
                <c:pt idx="0">
                  <c:v>19</c:v>
                </c:pt>
                <c:pt idx="1">
                  <c:v>4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5-4B71-8FD6-728930762BB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Salary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Employee_Salary_Dataset!$I$5:$I$6</c:f>
              <c:strCache>
                <c:ptCount val="2"/>
                <c:pt idx="0">
                  <c:v>Average salary of males:</c:v>
                </c:pt>
                <c:pt idx="1">
                  <c:v>Average salary of females:</c:v>
                </c:pt>
              </c:strCache>
            </c:strRef>
          </c:cat>
          <c:val>
            <c:numRef>
              <c:f>Employee_Salary_Dataset!$K$5:$K$6</c:f>
              <c:numCache>
                <c:formatCode>"₹"\ #,##0.00</c:formatCode>
                <c:ptCount val="2"/>
                <c:pt idx="0">
                  <c:v>2063626.4705882352</c:v>
                </c:pt>
                <c:pt idx="1">
                  <c:v>2054916.6666666667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B-423F-A920-97EC4AA1A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452655"/>
        <c:axId val="1684502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Employee_Salary_Dataset!$I$5:$I$6</c15:sqref>
                        </c15:formulaRef>
                      </c:ext>
                    </c:extLst>
                    <c:strCache>
                      <c:ptCount val="2"/>
                      <c:pt idx="0">
                        <c:v>Average salary of males:</c:v>
                      </c:pt>
                      <c:pt idx="1">
                        <c:v>Average salary of females: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Employee_Salary_Dataset!$J$5:$J$6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04B-423F-A920-97EC4AA1A853}"/>
                  </c:ext>
                </c:extLst>
              </c15:ser>
            </c15:filteredBarSeries>
          </c:ext>
        </c:extLst>
      </c:barChart>
      <c:catAx>
        <c:axId val="168452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50255"/>
        <c:crosses val="autoZero"/>
        <c:auto val="1"/>
        <c:lblAlgn val="ctr"/>
        <c:lblOffset val="100"/>
        <c:noMultiLvlLbl val="0"/>
      </c:catAx>
      <c:valAx>
        <c:axId val="168450255"/>
        <c:scaling>
          <c:orientation val="minMax"/>
        </c:scaling>
        <c:delete val="0"/>
        <c:axPos val="l"/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5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Salary Category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Employee_Salary_Dataset!$J$22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680-45FF-95AC-F52B24A505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680-45FF-95AC-F52B24A505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680-45FF-95AC-F52B24A5054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680-45FF-95AC-F52B24A5054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680-45FF-95AC-F52B24A5054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680-45FF-95AC-F52B24A5054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Employee_Salary_Dataset!$H$23:$I$25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Employee_Salary_Dataset!$J$23:$J$25</c:f>
              <c:numCache>
                <c:formatCode>0.00</c:formatCode>
                <c:ptCount val="3"/>
                <c:pt idx="0">
                  <c:v>19</c:v>
                </c:pt>
                <c:pt idx="1">
                  <c:v>4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80-45FF-95AC-F52B24A5054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[Anup_Pawar_DataAnalytics_Week1.xlsx]Pivot Tables!PivotTable3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Experience VS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'Pivot Tables'!$A$15:$A$30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10</c:v>
                </c:pt>
                <c:pt idx="7">
                  <c:v>11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19</c:v>
                </c:pt>
                <c:pt idx="12">
                  <c:v>20</c:v>
                </c:pt>
                <c:pt idx="13">
                  <c:v>25</c:v>
                </c:pt>
                <c:pt idx="14">
                  <c:v>27</c:v>
                </c:pt>
              </c:strCache>
            </c:strRef>
          </c:cat>
          <c:val>
            <c:numRef>
              <c:f>'Pivot Tables'!$B$15:$B$30</c:f>
              <c:numCache>
                <c:formatCode>"₹"\ #,##0.00</c:formatCode>
                <c:ptCount val="15"/>
                <c:pt idx="0">
                  <c:v>17250</c:v>
                </c:pt>
                <c:pt idx="1">
                  <c:v>12520</c:v>
                </c:pt>
                <c:pt idx="2">
                  <c:v>95000</c:v>
                </c:pt>
                <c:pt idx="3">
                  <c:v>92725</c:v>
                </c:pt>
                <c:pt idx="4">
                  <c:v>3547500</c:v>
                </c:pt>
                <c:pt idx="5">
                  <c:v>1400000</c:v>
                </c:pt>
                <c:pt idx="6">
                  <c:v>350375</c:v>
                </c:pt>
                <c:pt idx="7">
                  <c:v>220100</c:v>
                </c:pt>
                <c:pt idx="8">
                  <c:v>6000050</c:v>
                </c:pt>
                <c:pt idx="9">
                  <c:v>4005000</c:v>
                </c:pt>
                <c:pt idx="10">
                  <c:v>7600000</c:v>
                </c:pt>
                <c:pt idx="11">
                  <c:v>5033333.333333333</c:v>
                </c:pt>
                <c:pt idx="12">
                  <c:v>1540000</c:v>
                </c:pt>
                <c:pt idx="13">
                  <c:v>5001000</c:v>
                </c:pt>
                <c:pt idx="14">
                  <c:v>10000000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E2-4B62-BA99-6F17EFE1B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836346767"/>
        <c:axId val="2077401903"/>
      </c:lineChart>
      <c:catAx>
        <c:axId val="183634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401903"/>
        <c:crosses val="autoZero"/>
        <c:auto val="1"/>
        <c:lblAlgn val="ctr"/>
        <c:lblOffset val="100"/>
        <c:noMultiLvlLbl val="0"/>
      </c:catAx>
      <c:valAx>
        <c:axId val="2077401903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34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44</xdr:row>
      <xdr:rowOff>6350</xdr:rowOff>
    </xdr:from>
    <xdr:to>
      <xdr:col>6</xdr:col>
      <xdr:colOff>438150</xdr:colOff>
      <xdr:row>58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492D52-426C-A29A-D802-72EC22BEE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777875</xdr:colOff>
      <xdr:row>44</xdr:row>
      <xdr:rowOff>6350</xdr:rowOff>
    </xdr:from>
    <xdr:to>
      <xdr:col>12</xdr:col>
      <xdr:colOff>212725</xdr:colOff>
      <xdr:row>58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144DB3-18CF-A65C-CC16-A529740BC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4</xdr:row>
      <xdr:rowOff>88900</xdr:rowOff>
    </xdr:from>
    <xdr:to>
      <xdr:col>9</xdr:col>
      <xdr:colOff>165100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82119-5B17-4260-9A10-EEA2C7EFE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158750</xdr:colOff>
      <xdr:row>4</xdr:row>
      <xdr:rowOff>88900</xdr:rowOff>
    </xdr:from>
    <xdr:to>
      <xdr:col>19</xdr:col>
      <xdr:colOff>361950</xdr:colOff>
      <xdr:row>24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C59FB6-10BE-4C05-9A21-0E9F305C4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63500</xdr:colOff>
      <xdr:row>24</xdr:row>
      <xdr:rowOff>177800</xdr:rowOff>
    </xdr:from>
    <xdr:to>
      <xdr:col>17</xdr:col>
      <xdr:colOff>177800</xdr:colOff>
      <xdr:row>39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2FA72E-94F9-4C71-B4F8-AE288B0A2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P PAWAR" refreshedDate="45998.36401701389" createdVersion="8" refreshedVersion="8" minRefreshableVersion="3" recordCount="35" xr:uid="{79A453A9-B530-4AD4-BD88-ACC118CF9CDF}">
  <cacheSource type="worksheet">
    <worksheetSource name="Employee_Salary_Dataset"/>
  </cacheSource>
  <cacheFields count="7">
    <cacheField name="ID" numFmtId="0">
      <sharedItems containsSemiMixedTypes="0" containsString="0" containsNumber="1" containsInteger="1" minValue="1" maxValue="35"/>
    </cacheField>
    <cacheField name="Experience_Years" numFmtId="0">
      <sharedItems containsSemiMixedTypes="0" containsString="0" containsNumber="1" containsInteger="1" minValue="1" maxValue="27" count="15">
        <n v="5"/>
        <n v="1"/>
        <n v="3"/>
        <n v="2"/>
        <n v="25"/>
        <n v="19"/>
        <n v="10"/>
        <n v="15"/>
        <n v="4"/>
        <n v="6"/>
        <n v="14"/>
        <n v="11"/>
        <n v="27"/>
        <n v="20"/>
        <n v="16"/>
      </sharedItems>
    </cacheField>
    <cacheField name="Age" numFmtId="0">
      <sharedItems containsSemiMixedTypes="0" containsString="0" containsNumber="1" containsInteger="1" minValue="17" maxValue="62"/>
    </cacheField>
    <cacheField name="Gender" numFmtId="0">
      <sharedItems count="2">
        <s v="Female"/>
        <s v="Male"/>
      </sharedItems>
    </cacheField>
    <cacheField name="Salary" numFmtId="164">
      <sharedItems containsSemiMixedTypes="0" containsString="0" containsNumber="1" containsInteger="1" minValue="3000" maxValue="10000000"/>
    </cacheField>
    <cacheField name="Salary Category" numFmtId="164">
      <sharedItems count="3">
        <s v="High"/>
        <s v="Low"/>
        <s v="Medium"/>
      </sharedItems>
    </cacheField>
    <cacheField name="Eligibility for Promotion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1"/>
    <x v="0"/>
    <n v="28"/>
    <x v="0"/>
    <n v="250000"/>
    <x v="0"/>
    <s v="Yes"/>
  </r>
  <r>
    <n v="2"/>
    <x v="1"/>
    <n v="21"/>
    <x v="1"/>
    <n v="50000"/>
    <x v="1"/>
    <s v="No"/>
  </r>
  <r>
    <n v="3"/>
    <x v="2"/>
    <n v="23"/>
    <x v="0"/>
    <n v="170000"/>
    <x v="2"/>
    <s v="Yes"/>
  </r>
  <r>
    <n v="4"/>
    <x v="3"/>
    <n v="22"/>
    <x v="1"/>
    <n v="25000"/>
    <x v="1"/>
    <s v="No"/>
  </r>
  <r>
    <n v="5"/>
    <x v="1"/>
    <n v="17"/>
    <x v="1"/>
    <n v="10000"/>
    <x v="1"/>
    <s v="No"/>
  </r>
  <r>
    <n v="6"/>
    <x v="4"/>
    <n v="62"/>
    <x v="1"/>
    <n v="5001000"/>
    <x v="0"/>
    <s v="Yes"/>
  </r>
  <r>
    <n v="7"/>
    <x v="5"/>
    <n v="54"/>
    <x v="0"/>
    <n v="800000"/>
    <x v="0"/>
    <s v="Yes"/>
  </r>
  <r>
    <n v="8"/>
    <x v="3"/>
    <n v="21"/>
    <x v="0"/>
    <n v="9000"/>
    <x v="1"/>
    <s v="No"/>
  </r>
  <r>
    <n v="9"/>
    <x v="6"/>
    <n v="36"/>
    <x v="0"/>
    <n v="61500"/>
    <x v="2"/>
    <s v="Yes"/>
  </r>
  <r>
    <n v="10"/>
    <x v="7"/>
    <n v="54"/>
    <x v="0"/>
    <n v="650000"/>
    <x v="0"/>
    <s v="Yes"/>
  </r>
  <r>
    <n v="11"/>
    <x v="8"/>
    <n v="26"/>
    <x v="0"/>
    <n v="250000"/>
    <x v="0"/>
    <s v="Yes"/>
  </r>
  <r>
    <n v="12"/>
    <x v="9"/>
    <n v="29"/>
    <x v="1"/>
    <n v="1400000"/>
    <x v="0"/>
    <s v="Yes"/>
  </r>
  <r>
    <n v="13"/>
    <x v="10"/>
    <n v="39"/>
    <x v="1"/>
    <n v="6000050"/>
    <x v="0"/>
    <s v="Yes"/>
  </r>
  <r>
    <n v="14"/>
    <x v="11"/>
    <n v="40"/>
    <x v="1"/>
    <n v="220100"/>
    <x v="0"/>
    <s v="Yes"/>
  </r>
  <r>
    <n v="15"/>
    <x v="3"/>
    <n v="23"/>
    <x v="1"/>
    <n v="7500"/>
    <x v="1"/>
    <s v="No"/>
  </r>
  <r>
    <n v="16"/>
    <x v="8"/>
    <n v="27"/>
    <x v="0"/>
    <n v="87000"/>
    <x v="2"/>
    <s v="Yes"/>
  </r>
  <r>
    <n v="17"/>
    <x v="6"/>
    <n v="34"/>
    <x v="0"/>
    <n v="930000"/>
    <x v="0"/>
    <s v="Yes"/>
  </r>
  <r>
    <n v="18"/>
    <x v="7"/>
    <n v="54"/>
    <x v="0"/>
    <n v="7900000"/>
    <x v="0"/>
    <s v="Yes"/>
  </r>
  <r>
    <n v="19"/>
    <x v="3"/>
    <n v="21"/>
    <x v="1"/>
    <n v="15000"/>
    <x v="1"/>
    <s v="No"/>
  </r>
  <r>
    <n v="20"/>
    <x v="6"/>
    <n v="36"/>
    <x v="1"/>
    <n v="330000"/>
    <x v="0"/>
    <s v="Yes"/>
  </r>
  <r>
    <n v="21"/>
    <x v="7"/>
    <n v="54"/>
    <x v="1"/>
    <n v="6570000"/>
    <x v="0"/>
    <s v="Yes"/>
  </r>
  <r>
    <n v="22"/>
    <x v="8"/>
    <n v="26"/>
    <x v="1"/>
    <n v="25000"/>
    <x v="1"/>
    <s v="No"/>
  </r>
  <r>
    <n v="23"/>
    <x v="0"/>
    <n v="29"/>
    <x v="1"/>
    <n v="6845000"/>
    <x v="0"/>
    <s v="Yes"/>
  </r>
  <r>
    <n v="24"/>
    <x v="1"/>
    <n v="21"/>
    <x v="0"/>
    <n v="6000"/>
    <x v="1"/>
    <s v="No"/>
  </r>
  <r>
    <n v="25"/>
    <x v="8"/>
    <n v="23"/>
    <x v="0"/>
    <n v="8900"/>
    <x v="1"/>
    <s v="No"/>
  </r>
  <r>
    <n v="26"/>
    <x v="2"/>
    <n v="22"/>
    <x v="0"/>
    <n v="20000"/>
    <x v="1"/>
    <s v="No"/>
  </r>
  <r>
    <n v="27"/>
    <x v="1"/>
    <n v="18"/>
    <x v="1"/>
    <n v="3000"/>
    <x v="1"/>
    <s v="No"/>
  </r>
  <r>
    <n v="28"/>
    <x v="12"/>
    <n v="62"/>
    <x v="0"/>
    <n v="10000000"/>
    <x v="0"/>
    <s v="Yes"/>
  </r>
  <r>
    <n v="29"/>
    <x v="5"/>
    <n v="54"/>
    <x v="0"/>
    <n v="5000000"/>
    <x v="0"/>
    <s v="Yes"/>
  </r>
  <r>
    <n v="30"/>
    <x v="3"/>
    <n v="21"/>
    <x v="0"/>
    <n v="6100"/>
    <x v="1"/>
    <s v="No"/>
  </r>
  <r>
    <n v="31"/>
    <x v="6"/>
    <n v="34"/>
    <x v="1"/>
    <n v="80000"/>
    <x v="2"/>
    <s v="Yes"/>
  </r>
  <r>
    <n v="32"/>
    <x v="7"/>
    <n v="54"/>
    <x v="1"/>
    <n v="900000"/>
    <x v="0"/>
    <s v="Yes"/>
  </r>
  <r>
    <n v="33"/>
    <x v="13"/>
    <n v="55"/>
    <x v="0"/>
    <n v="1540000"/>
    <x v="0"/>
    <s v="Yes"/>
  </r>
  <r>
    <n v="34"/>
    <x v="5"/>
    <n v="53"/>
    <x v="0"/>
    <n v="9300000"/>
    <x v="0"/>
    <s v="Yes"/>
  </r>
  <r>
    <n v="35"/>
    <x v="14"/>
    <n v="49"/>
    <x v="1"/>
    <n v="7600000"/>
    <x v="0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EE6BC-316D-459C-A4B1-1142124F7C7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Experience">
  <location ref="A14:B30" firstHeaderRow="1" firstDataRow="1" firstDataCol="1"/>
  <pivotFields count="7">
    <pivotField showAll="0"/>
    <pivotField axis="axisRow" showAll="0">
      <items count="16">
        <item x="1"/>
        <item x="3"/>
        <item x="2"/>
        <item x="8"/>
        <item x="0"/>
        <item x="9"/>
        <item x="6"/>
        <item x="11"/>
        <item x="10"/>
        <item x="7"/>
        <item x="14"/>
        <item x="5"/>
        <item x="13"/>
        <item x="4"/>
        <item x="12"/>
        <item t="default"/>
      </items>
    </pivotField>
    <pivotField showAll="0"/>
    <pivotField showAll="0"/>
    <pivotField dataField="1" numFmtId="164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Salary" fld="4" subtotal="average" baseField="1" baseItem="0" numFmtId="164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535A0-2098-4005-A4A1-A20088C6189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ary Category">
  <location ref="A8:B12" firstHeaderRow="1" firstDataRow="1" firstDataCol="1"/>
  <pivotFields count="7">
    <pivotField showAll="0"/>
    <pivotField showAll="0"/>
    <pivotField showAll="0"/>
    <pivotField showAll="0"/>
    <pivotField dataField="1" numFmtId="164"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ary" fld="4" subtotal="count" baseField="5" baseItem="0"/>
  </dataField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4590F-5940-4522-B845-5B557A25576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Gender">
  <location ref="A3:B6" firstHeaderRow="1" firstDataRow="1" firstDataCol="1"/>
  <pivotFields count="7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numFmtId="164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Salary" fld="4" subtotal="average" baseField="3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A89797-8E07-462C-9D2B-ED0FCA59BF8B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ID" tableColumnId="1"/>
      <queryTableField id="2" name="Experience_Years" tableColumnId="2"/>
      <queryTableField id="3" name="Age" tableColumnId="3"/>
      <queryTableField id="4" name="Gender" tableColumnId="4"/>
      <queryTableField id="5" name="Salary" tableColumnId="5"/>
      <queryTableField id="6" dataBound="0" tableColumnId="9"/>
      <queryTableField id="7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D081BE-E746-4A39-9B4D-5AD02CBBE56B}" name="Employee_Salary_Dataset" displayName="Employee_Salary_Dataset" ref="A1:G36" tableType="queryTable" totalsRowShown="0">
  <tableColumns count="7">
    <tableColumn id="1" xr3:uid="{7F704D1F-B50A-4DFD-A828-5D26B9BB0E17}" uniqueName="1" name="ID" queryTableFieldId="1"/>
    <tableColumn id="2" xr3:uid="{FC368BC8-865B-47C1-9C99-E5D34958F9F0}" uniqueName="2" name="Experience_Years" queryTableFieldId="2"/>
    <tableColumn id="3" xr3:uid="{07F59577-D66C-495B-8A6E-2D5392513599}" uniqueName="3" name="Age" queryTableFieldId="3"/>
    <tableColumn id="4" xr3:uid="{D7FE3F6F-62B8-4469-AAF3-E637CC76E149}" uniqueName="4" name="Gender" queryTableFieldId="4" dataDxfId="3"/>
    <tableColumn id="5" xr3:uid="{250D5296-8BCE-4338-B7FB-70505A2EB9E1}" uniqueName="5" name="Salary" queryTableFieldId="5" dataDxfId="2"/>
    <tableColumn id="9" xr3:uid="{A5EBFCED-CE02-4C61-97E5-C93A06EF34A6}" uniqueName="9" name="Salary Category" queryTableFieldId="6" dataDxfId="1">
      <calculatedColumnFormula>IF(E2&gt;200000,"High",IF(E2&gt;50000,"Medium","Low"))</calculatedColumnFormula>
    </tableColumn>
    <tableColumn id="10" xr3:uid="{D1BCF3B8-02BF-45C5-8C11-DE2841B8EF84}" uniqueName="10" name="Eligibility for Promotion" queryTableFieldId="7" dataDxfId="0">
      <calculatedColumnFormula>IF(AND(B2&gt;=3, E2&gt;=50000),"Yes","No")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270B-B660-4B21-8A37-D891BA787F15}">
  <dimension ref="A1:O41"/>
  <sheetViews>
    <sheetView tabSelected="1" topLeftCell="A17" workbookViewId="0">
      <selection activeCell="I41" sqref="I41"/>
    </sheetView>
  </sheetViews>
  <sheetFormatPr defaultRowHeight="14.5" x14ac:dyDescent="0.35"/>
  <cols>
    <col min="1" max="1" width="4.90625" bestFit="1" customWidth="1"/>
    <col min="2" max="3" width="8.6328125" customWidth="1"/>
    <col min="4" max="4" width="10.81640625" customWidth="1"/>
    <col min="5" max="5" width="17.26953125" style="1" customWidth="1"/>
    <col min="6" max="6" width="14.08984375" customWidth="1"/>
    <col min="7" max="7" width="20.6328125" customWidth="1"/>
    <col min="8" max="8" width="7.08984375" customWidth="1"/>
    <col min="9" max="9" width="15" customWidth="1"/>
    <col min="10" max="10" width="8.90625" customWidth="1"/>
    <col min="11" max="11" width="14.9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7</v>
      </c>
      <c r="G1" s="1" t="s">
        <v>8</v>
      </c>
    </row>
    <row r="2" spans="1:15" x14ac:dyDescent="0.35">
      <c r="A2">
        <v>1</v>
      </c>
      <c r="B2">
        <v>5</v>
      </c>
      <c r="C2">
        <v>28</v>
      </c>
      <c r="D2" t="s">
        <v>5</v>
      </c>
      <c r="E2" s="1">
        <v>250000</v>
      </c>
      <c r="F2" s="1" t="str">
        <f t="shared" ref="F2:F36" si="0">IF(E2&gt;200000,"High",IF(E2&gt;50000,"Medium","Low"))</f>
        <v>High</v>
      </c>
      <c r="G2" s="1" t="str">
        <f t="shared" ref="G2:G36" si="1">IF(AND(B2&gt;=3, E2&gt;=50000),"Yes","No")</f>
        <v>Yes</v>
      </c>
      <c r="I2" s="2" t="s">
        <v>9</v>
      </c>
      <c r="J2" s="2">
        <f>COUNTIF(D:D,"Male")</f>
        <v>17</v>
      </c>
    </row>
    <row r="3" spans="1:15" x14ac:dyDescent="0.35">
      <c r="A3">
        <v>2</v>
      </c>
      <c r="B3">
        <v>1</v>
      </c>
      <c r="C3">
        <v>21</v>
      </c>
      <c r="D3" t="s">
        <v>6</v>
      </c>
      <c r="E3" s="1">
        <v>50000</v>
      </c>
      <c r="F3" s="1" t="str">
        <f t="shared" si="0"/>
        <v>Low</v>
      </c>
      <c r="G3" s="1" t="str">
        <f t="shared" si="1"/>
        <v>No</v>
      </c>
      <c r="I3" s="2" t="s">
        <v>10</v>
      </c>
      <c r="J3" s="2">
        <f>COUNTIF(D:D,"Female")</f>
        <v>18</v>
      </c>
    </row>
    <row r="4" spans="1:15" x14ac:dyDescent="0.35">
      <c r="A4">
        <v>3</v>
      </c>
      <c r="B4">
        <v>3</v>
      </c>
      <c r="C4">
        <v>23</v>
      </c>
      <c r="D4" t="s">
        <v>5</v>
      </c>
      <c r="E4" s="1">
        <v>170000</v>
      </c>
      <c r="F4" s="1" t="str">
        <f t="shared" si="0"/>
        <v>Medium</v>
      </c>
      <c r="G4" s="1" t="str">
        <f t="shared" si="1"/>
        <v>Yes</v>
      </c>
    </row>
    <row r="5" spans="1:15" x14ac:dyDescent="0.35">
      <c r="A5">
        <v>4</v>
      </c>
      <c r="B5">
        <v>2</v>
      </c>
      <c r="C5">
        <v>22</v>
      </c>
      <c r="D5" t="s">
        <v>6</v>
      </c>
      <c r="E5" s="1">
        <v>25000</v>
      </c>
      <c r="F5" s="1" t="str">
        <f t="shared" si="0"/>
        <v>Low</v>
      </c>
      <c r="G5" s="1" t="str">
        <f t="shared" si="1"/>
        <v>No</v>
      </c>
      <c r="I5" s="19" t="s">
        <v>11</v>
      </c>
      <c r="J5" s="19"/>
      <c r="K5" s="3">
        <f>AVERAGEIF(D:D, "Male", E:E)</f>
        <v>2063626.4705882352</v>
      </c>
      <c r="M5" s="14" t="s">
        <v>28</v>
      </c>
      <c r="N5" s="14"/>
      <c r="O5" s="14"/>
    </row>
    <row r="6" spans="1:15" x14ac:dyDescent="0.35">
      <c r="A6">
        <v>5</v>
      </c>
      <c r="B6">
        <v>1</v>
      </c>
      <c r="C6">
        <v>17</v>
      </c>
      <c r="D6" t="s">
        <v>6</v>
      </c>
      <c r="E6" s="1">
        <v>10000</v>
      </c>
      <c r="F6" s="1" t="str">
        <f t="shared" si="0"/>
        <v>Low</v>
      </c>
      <c r="G6" s="1" t="str">
        <f t="shared" si="1"/>
        <v>No</v>
      </c>
      <c r="I6" s="20" t="s">
        <v>12</v>
      </c>
      <c r="J6" s="20"/>
      <c r="K6" s="3">
        <f>AVERAGEIF(D:D, "Female", E:E)</f>
        <v>2054916.6666666667</v>
      </c>
    </row>
    <row r="7" spans="1:15" x14ac:dyDescent="0.35">
      <c r="A7">
        <v>6</v>
      </c>
      <c r="B7">
        <v>25</v>
      </c>
      <c r="C7">
        <v>62</v>
      </c>
      <c r="D7" t="s">
        <v>6</v>
      </c>
      <c r="E7" s="1">
        <v>5001000</v>
      </c>
      <c r="F7" s="1" t="str">
        <f t="shared" si="0"/>
        <v>High</v>
      </c>
      <c r="G7" s="1" t="str">
        <f t="shared" si="1"/>
        <v>Yes</v>
      </c>
    </row>
    <row r="8" spans="1:15" x14ac:dyDescent="0.35">
      <c r="A8">
        <v>7</v>
      </c>
      <c r="B8">
        <v>19</v>
      </c>
      <c r="C8">
        <v>54</v>
      </c>
      <c r="D8" t="s">
        <v>5</v>
      </c>
      <c r="E8" s="1">
        <v>800000</v>
      </c>
      <c r="F8" s="1" t="str">
        <f t="shared" si="0"/>
        <v>High</v>
      </c>
      <c r="G8" s="1" t="str">
        <f t="shared" si="1"/>
        <v>Yes</v>
      </c>
      <c r="I8" s="20" t="s">
        <v>13</v>
      </c>
      <c r="J8" s="20"/>
      <c r="K8" s="4">
        <f>SUMIF(D:D,"Male",E:E)</f>
        <v>35081650</v>
      </c>
    </row>
    <row r="9" spans="1:15" x14ac:dyDescent="0.35">
      <c r="A9">
        <v>8</v>
      </c>
      <c r="B9">
        <v>2</v>
      </c>
      <c r="C9">
        <v>21</v>
      </c>
      <c r="D9" t="s">
        <v>5</v>
      </c>
      <c r="E9" s="1">
        <v>9000</v>
      </c>
      <c r="F9" s="1" t="str">
        <f t="shared" si="0"/>
        <v>Low</v>
      </c>
      <c r="G9" s="1" t="str">
        <f t="shared" si="1"/>
        <v>No</v>
      </c>
      <c r="I9" s="2" t="s">
        <v>14</v>
      </c>
      <c r="J9" s="2"/>
      <c r="K9" s="4">
        <f>SUMIF(D:D,"Female",E:E)</f>
        <v>36988500</v>
      </c>
    </row>
    <row r="10" spans="1:15" x14ac:dyDescent="0.35">
      <c r="A10">
        <v>9</v>
      </c>
      <c r="B10">
        <v>10</v>
      </c>
      <c r="C10">
        <v>36</v>
      </c>
      <c r="D10" t="s">
        <v>5</v>
      </c>
      <c r="E10" s="1">
        <v>61500</v>
      </c>
      <c r="F10" s="1" t="str">
        <f t="shared" si="0"/>
        <v>Medium</v>
      </c>
      <c r="G10" s="1" t="str">
        <f t="shared" si="1"/>
        <v>Yes</v>
      </c>
    </row>
    <row r="11" spans="1:15" x14ac:dyDescent="0.35">
      <c r="A11">
        <v>10</v>
      </c>
      <c r="B11">
        <v>15</v>
      </c>
      <c r="C11">
        <v>54</v>
      </c>
      <c r="D11" t="s">
        <v>5</v>
      </c>
      <c r="E11" s="1">
        <v>650000</v>
      </c>
      <c r="F11" s="1" t="str">
        <f t="shared" si="0"/>
        <v>High</v>
      </c>
      <c r="G11" s="1" t="str">
        <f t="shared" si="1"/>
        <v>Yes</v>
      </c>
      <c r="I11" s="2" t="s">
        <v>15</v>
      </c>
      <c r="J11" s="21">
        <f>MAX(E:E)</f>
        <v>10000000</v>
      </c>
      <c r="K11" s="21"/>
    </row>
    <row r="12" spans="1:15" x14ac:dyDescent="0.35">
      <c r="A12">
        <v>11</v>
      </c>
      <c r="B12">
        <v>4</v>
      </c>
      <c r="C12">
        <v>26</v>
      </c>
      <c r="D12" t="s">
        <v>5</v>
      </c>
      <c r="E12" s="1">
        <v>250000</v>
      </c>
      <c r="F12" s="1" t="str">
        <f t="shared" si="0"/>
        <v>High</v>
      </c>
      <c r="G12" s="1" t="str">
        <f t="shared" si="1"/>
        <v>Yes</v>
      </c>
      <c r="I12" s="2" t="s">
        <v>16</v>
      </c>
      <c r="J12" s="21">
        <f>MIN(E:E)</f>
        <v>3000</v>
      </c>
      <c r="K12" s="21"/>
    </row>
    <row r="13" spans="1:15" x14ac:dyDescent="0.35">
      <c r="A13">
        <v>12</v>
      </c>
      <c r="B13">
        <v>6</v>
      </c>
      <c r="C13">
        <v>29</v>
      </c>
      <c r="D13" t="s">
        <v>6</v>
      </c>
      <c r="E13" s="1">
        <v>1400000</v>
      </c>
      <c r="F13" s="1" t="str">
        <f t="shared" si="0"/>
        <v>High</v>
      </c>
      <c r="G13" s="1" t="str">
        <f t="shared" si="1"/>
        <v>Yes</v>
      </c>
    </row>
    <row r="14" spans="1:15" x14ac:dyDescent="0.35">
      <c r="A14">
        <v>13</v>
      </c>
      <c r="B14">
        <v>14</v>
      </c>
      <c r="C14">
        <v>39</v>
      </c>
      <c r="D14" t="s">
        <v>6</v>
      </c>
      <c r="E14" s="1">
        <v>6000050</v>
      </c>
      <c r="F14" s="1" t="str">
        <f t="shared" si="0"/>
        <v>High</v>
      </c>
      <c r="G14" s="1" t="str">
        <f t="shared" si="1"/>
        <v>Yes</v>
      </c>
      <c r="I14" s="9" t="s">
        <v>20</v>
      </c>
    </row>
    <row r="15" spans="1:15" x14ac:dyDescent="0.35">
      <c r="A15">
        <v>14</v>
      </c>
      <c r="B15">
        <v>11</v>
      </c>
      <c r="C15">
        <v>40</v>
      </c>
      <c r="D15" t="s">
        <v>6</v>
      </c>
      <c r="E15" s="1">
        <v>220100</v>
      </c>
      <c r="F15" s="1" t="str">
        <f t="shared" si="0"/>
        <v>High</v>
      </c>
      <c r="G15" s="1" t="str">
        <f t="shared" si="1"/>
        <v>Yes</v>
      </c>
    </row>
    <row r="16" spans="1:15" x14ac:dyDescent="0.35">
      <c r="A16">
        <v>15</v>
      </c>
      <c r="B16">
        <v>2</v>
      </c>
      <c r="C16">
        <v>23</v>
      </c>
      <c r="D16" t="s">
        <v>6</v>
      </c>
      <c r="E16" s="1">
        <v>7500</v>
      </c>
      <c r="F16" s="1" t="str">
        <f t="shared" si="0"/>
        <v>Low</v>
      </c>
      <c r="G16" s="1" t="str">
        <f t="shared" si="1"/>
        <v>No</v>
      </c>
      <c r="H16" s="7">
        <v>1</v>
      </c>
      <c r="I16" s="8" t="s">
        <v>17</v>
      </c>
      <c r="J16" s="8"/>
      <c r="K16" s="8"/>
      <c r="L16" s="6"/>
    </row>
    <row r="17" spans="1:12" x14ac:dyDescent="0.35">
      <c r="A17">
        <v>16</v>
      </c>
      <c r="B17">
        <v>4</v>
      </c>
      <c r="C17">
        <v>27</v>
      </c>
      <c r="D17" t="s">
        <v>5</v>
      </c>
      <c r="E17" s="1">
        <v>87000</v>
      </c>
      <c r="F17" s="1" t="str">
        <f t="shared" si="0"/>
        <v>Medium</v>
      </c>
      <c r="G17" s="1" t="str">
        <f t="shared" si="1"/>
        <v>Yes</v>
      </c>
      <c r="H17" s="7">
        <v>2</v>
      </c>
      <c r="I17" s="8" t="s">
        <v>18</v>
      </c>
      <c r="J17" s="8"/>
      <c r="K17" s="8"/>
      <c r="L17" s="6"/>
    </row>
    <row r="18" spans="1:12" x14ac:dyDescent="0.35">
      <c r="A18">
        <v>17</v>
      </c>
      <c r="B18">
        <v>10</v>
      </c>
      <c r="C18">
        <v>34</v>
      </c>
      <c r="D18" t="s">
        <v>5</v>
      </c>
      <c r="E18" s="1">
        <v>930000</v>
      </c>
      <c r="F18" s="1" t="str">
        <f t="shared" si="0"/>
        <v>High</v>
      </c>
      <c r="G18" s="1" t="str">
        <f t="shared" si="1"/>
        <v>Yes</v>
      </c>
      <c r="H18" s="7">
        <v>3</v>
      </c>
      <c r="I18" s="8" t="s">
        <v>19</v>
      </c>
      <c r="J18" s="8"/>
      <c r="K18" s="8"/>
      <c r="L18" s="6"/>
    </row>
    <row r="19" spans="1:12" x14ac:dyDescent="0.35">
      <c r="A19">
        <v>18</v>
      </c>
      <c r="B19">
        <v>15</v>
      </c>
      <c r="C19">
        <v>54</v>
      </c>
      <c r="D19" t="s">
        <v>5</v>
      </c>
      <c r="E19" s="1">
        <v>7900000</v>
      </c>
      <c r="F19" s="1" t="str">
        <f t="shared" si="0"/>
        <v>High</v>
      </c>
      <c r="G19" s="1" t="str">
        <f t="shared" si="1"/>
        <v>Yes</v>
      </c>
      <c r="H19" s="7">
        <v>4</v>
      </c>
      <c r="I19" s="8" t="s">
        <v>21</v>
      </c>
      <c r="J19" s="8"/>
      <c r="K19" s="8"/>
      <c r="L19" s="6"/>
    </row>
    <row r="20" spans="1:12" x14ac:dyDescent="0.35">
      <c r="A20">
        <v>19</v>
      </c>
      <c r="B20">
        <v>2</v>
      </c>
      <c r="C20">
        <v>21</v>
      </c>
      <c r="D20" t="s">
        <v>6</v>
      </c>
      <c r="E20" s="1">
        <v>15000</v>
      </c>
      <c r="F20" s="1" t="str">
        <f t="shared" si="0"/>
        <v>Low</v>
      </c>
      <c r="G20" s="1" t="str">
        <f t="shared" si="1"/>
        <v>No</v>
      </c>
      <c r="H20" s="7">
        <v>5</v>
      </c>
      <c r="I20" s="8" t="s">
        <v>22</v>
      </c>
      <c r="J20" s="8"/>
      <c r="K20" s="8"/>
      <c r="L20" s="6"/>
    </row>
    <row r="21" spans="1:12" x14ac:dyDescent="0.35">
      <c r="A21">
        <v>20</v>
      </c>
      <c r="B21">
        <v>10</v>
      </c>
      <c r="C21">
        <v>36</v>
      </c>
      <c r="D21" t="s">
        <v>6</v>
      </c>
      <c r="E21" s="1">
        <v>330000</v>
      </c>
      <c r="F21" s="1" t="str">
        <f t="shared" si="0"/>
        <v>High</v>
      </c>
      <c r="G21" s="1" t="str">
        <f t="shared" si="1"/>
        <v>Yes</v>
      </c>
      <c r="H21" s="5"/>
    </row>
    <row r="22" spans="1:12" ht="14.5" customHeight="1" x14ac:dyDescent="0.35">
      <c r="A22">
        <v>21</v>
      </c>
      <c r="B22">
        <v>15</v>
      </c>
      <c r="C22">
        <v>54</v>
      </c>
      <c r="D22" t="s">
        <v>6</v>
      </c>
      <c r="E22" s="1">
        <v>6570000</v>
      </c>
      <c r="F22" s="1" t="str">
        <f t="shared" si="0"/>
        <v>High</v>
      </c>
      <c r="G22" s="1" t="str">
        <f t="shared" si="1"/>
        <v>Yes</v>
      </c>
      <c r="H22" s="10"/>
      <c r="I22" s="11" t="s">
        <v>27</v>
      </c>
      <c r="J22" s="12" t="s">
        <v>23</v>
      </c>
    </row>
    <row r="23" spans="1:12" x14ac:dyDescent="0.35">
      <c r="A23">
        <v>22</v>
      </c>
      <c r="B23">
        <v>4</v>
      </c>
      <c r="C23">
        <v>26</v>
      </c>
      <c r="D23" t="s">
        <v>6</v>
      </c>
      <c r="E23" s="1">
        <v>25000</v>
      </c>
      <c r="F23" s="1" t="str">
        <f t="shared" si="0"/>
        <v>Low</v>
      </c>
      <c r="G23" s="1" t="str">
        <f t="shared" si="1"/>
        <v>No</v>
      </c>
      <c r="I23" s="13" t="s">
        <v>24</v>
      </c>
      <c r="J23" s="23">
        <f>COUNTIF(F:F,"High")</f>
        <v>19</v>
      </c>
    </row>
    <row r="24" spans="1:12" x14ac:dyDescent="0.35">
      <c r="A24">
        <v>23</v>
      </c>
      <c r="B24">
        <v>5</v>
      </c>
      <c r="C24">
        <v>29</v>
      </c>
      <c r="D24" t="s">
        <v>6</v>
      </c>
      <c r="E24" s="1">
        <v>6845000</v>
      </c>
      <c r="F24" s="1" t="str">
        <f t="shared" si="0"/>
        <v>High</v>
      </c>
      <c r="G24" s="1" t="str">
        <f t="shared" si="1"/>
        <v>Yes</v>
      </c>
      <c r="I24" s="13" t="s">
        <v>25</v>
      </c>
      <c r="J24" s="23">
        <f>COUNTIF(F:F,"Medium")</f>
        <v>4</v>
      </c>
    </row>
    <row r="25" spans="1:12" x14ac:dyDescent="0.35">
      <c r="A25">
        <v>24</v>
      </c>
      <c r="B25">
        <v>1</v>
      </c>
      <c r="C25">
        <v>21</v>
      </c>
      <c r="D25" t="s">
        <v>5</v>
      </c>
      <c r="E25" s="1">
        <v>6000</v>
      </c>
      <c r="F25" s="1" t="str">
        <f t="shared" si="0"/>
        <v>Low</v>
      </c>
      <c r="G25" s="1" t="str">
        <f t="shared" si="1"/>
        <v>No</v>
      </c>
      <c r="I25" s="13" t="s">
        <v>26</v>
      </c>
      <c r="J25" s="23">
        <f>COUNTIF(F:F,"Low")</f>
        <v>12</v>
      </c>
    </row>
    <row r="26" spans="1:12" x14ac:dyDescent="0.35">
      <c r="A26">
        <v>25</v>
      </c>
      <c r="B26">
        <v>4</v>
      </c>
      <c r="C26">
        <v>23</v>
      </c>
      <c r="D26" t="s">
        <v>5</v>
      </c>
      <c r="E26" s="1">
        <v>8900</v>
      </c>
      <c r="F26" s="1" t="str">
        <f t="shared" si="0"/>
        <v>Low</v>
      </c>
      <c r="G26" s="1" t="str">
        <f t="shared" si="1"/>
        <v>No</v>
      </c>
    </row>
    <row r="27" spans="1:12" x14ac:dyDescent="0.35">
      <c r="A27">
        <v>26</v>
      </c>
      <c r="B27">
        <v>3</v>
      </c>
      <c r="C27">
        <v>22</v>
      </c>
      <c r="D27" t="s">
        <v>5</v>
      </c>
      <c r="E27" s="1">
        <v>20000</v>
      </c>
      <c r="F27" s="1" t="str">
        <f t="shared" si="0"/>
        <v>Low</v>
      </c>
      <c r="G27" s="1" t="str">
        <f t="shared" si="1"/>
        <v>No</v>
      </c>
    </row>
    <row r="28" spans="1:12" x14ac:dyDescent="0.35">
      <c r="A28">
        <v>27</v>
      </c>
      <c r="B28">
        <v>1</v>
      </c>
      <c r="C28">
        <v>18</v>
      </c>
      <c r="D28" t="s">
        <v>6</v>
      </c>
      <c r="E28" s="1">
        <v>3000</v>
      </c>
      <c r="F28" s="1" t="str">
        <f t="shared" si="0"/>
        <v>Low</v>
      </c>
      <c r="G28" s="1" t="str">
        <f t="shared" si="1"/>
        <v>No</v>
      </c>
    </row>
    <row r="29" spans="1:12" x14ac:dyDescent="0.35">
      <c r="A29">
        <v>28</v>
      </c>
      <c r="B29">
        <v>27</v>
      </c>
      <c r="C29">
        <v>62</v>
      </c>
      <c r="D29" t="s">
        <v>5</v>
      </c>
      <c r="E29" s="1">
        <v>10000000</v>
      </c>
      <c r="F29" s="1" t="str">
        <f t="shared" si="0"/>
        <v>High</v>
      </c>
      <c r="G29" s="1" t="str">
        <f t="shared" si="1"/>
        <v>Yes</v>
      </c>
    </row>
    <row r="30" spans="1:12" x14ac:dyDescent="0.35">
      <c r="A30">
        <v>29</v>
      </c>
      <c r="B30">
        <v>19</v>
      </c>
      <c r="C30">
        <v>54</v>
      </c>
      <c r="D30" t="s">
        <v>5</v>
      </c>
      <c r="E30" s="1">
        <v>5000000</v>
      </c>
      <c r="F30" s="1" t="str">
        <f t="shared" si="0"/>
        <v>High</v>
      </c>
      <c r="G30" s="1" t="str">
        <f t="shared" si="1"/>
        <v>Yes</v>
      </c>
    </row>
    <row r="31" spans="1:12" x14ac:dyDescent="0.35">
      <c r="A31">
        <v>30</v>
      </c>
      <c r="B31">
        <v>2</v>
      </c>
      <c r="C31">
        <v>21</v>
      </c>
      <c r="D31" t="s">
        <v>5</v>
      </c>
      <c r="E31" s="1">
        <v>6100</v>
      </c>
      <c r="F31" s="1" t="str">
        <f t="shared" si="0"/>
        <v>Low</v>
      </c>
      <c r="G31" s="1" t="str">
        <f t="shared" si="1"/>
        <v>No</v>
      </c>
    </row>
    <row r="32" spans="1:12" x14ac:dyDescent="0.35">
      <c r="A32">
        <v>31</v>
      </c>
      <c r="B32">
        <v>10</v>
      </c>
      <c r="C32">
        <v>34</v>
      </c>
      <c r="D32" t="s">
        <v>6</v>
      </c>
      <c r="E32" s="1">
        <v>80000</v>
      </c>
      <c r="F32" s="1" t="str">
        <f t="shared" si="0"/>
        <v>Medium</v>
      </c>
      <c r="G32" s="1" t="str">
        <f t="shared" si="1"/>
        <v>Yes</v>
      </c>
    </row>
    <row r="33" spans="1:7" x14ac:dyDescent="0.35">
      <c r="A33">
        <v>32</v>
      </c>
      <c r="B33">
        <v>15</v>
      </c>
      <c r="C33">
        <v>54</v>
      </c>
      <c r="D33" t="s">
        <v>6</v>
      </c>
      <c r="E33" s="1">
        <v>900000</v>
      </c>
      <c r="F33" s="1" t="str">
        <f t="shared" si="0"/>
        <v>High</v>
      </c>
      <c r="G33" s="1" t="str">
        <f t="shared" si="1"/>
        <v>Yes</v>
      </c>
    </row>
    <row r="34" spans="1:7" x14ac:dyDescent="0.35">
      <c r="A34">
        <v>33</v>
      </c>
      <c r="B34">
        <v>20</v>
      </c>
      <c r="C34">
        <v>55</v>
      </c>
      <c r="D34" t="s">
        <v>5</v>
      </c>
      <c r="E34" s="1">
        <v>1540000</v>
      </c>
      <c r="F34" s="1" t="str">
        <f t="shared" si="0"/>
        <v>High</v>
      </c>
      <c r="G34" s="1" t="str">
        <f t="shared" si="1"/>
        <v>Yes</v>
      </c>
    </row>
    <row r="35" spans="1:7" x14ac:dyDescent="0.35">
      <c r="A35">
        <v>34</v>
      </c>
      <c r="B35">
        <v>19</v>
      </c>
      <c r="C35">
        <v>53</v>
      </c>
      <c r="D35" t="s">
        <v>5</v>
      </c>
      <c r="E35" s="1">
        <v>9300000</v>
      </c>
      <c r="F35" s="1" t="str">
        <f t="shared" si="0"/>
        <v>High</v>
      </c>
      <c r="G35" s="1" t="str">
        <f t="shared" si="1"/>
        <v>Yes</v>
      </c>
    </row>
    <row r="36" spans="1:7" x14ac:dyDescent="0.35">
      <c r="A36">
        <v>35</v>
      </c>
      <c r="B36">
        <v>16</v>
      </c>
      <c r="C36">
        <v>49</v>
      </c>
      <c r="D36" t="s">
        <v>6</v>
      </c>
      <c r="E36" s="1">
        <v>7600000</v>
      </c>
      <c r="F36" s="1" t="str">
        <f t="shared" si="0"/>
        <v>High</v>
      </c>
      <c r="G36" s="1" t="str">
        <f t="shared" si="1"/>
        <v>Yes</v>
      </c>
    </row>
    <row r="41" spans="1:7" ht="39.5" x14ac:dyDescent="1.1000000000000001">
      <c r="F41" s="17" t="s">
        <v>29</v>
      </c>
      <c r="G41" s="18"/>
    </row>
  </sheetData>
  <mergeCells count="6">
    <mergeCell ref="F41:G41"/>
    <mergeCell ref="I5:J5"/>
    <mergeCell ref="I6:J6"/>
    <mergeCell ref="I8:J8"/>
    <mergeCell ref="J11:K11"/>
    <mergeCell ref="J12:K12"/>
  </mergeCells>
  <phoneticPr fontId="3" type="noConversion"/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0DFB2-4A3F-4672-825C-E4D1922629A6}">
  <dimension ref="A3:B30"/>
  <sheetViews>
    <sheetView workbookViewId="0">
      <selection activeCell="D10" sqref="D10"/>
    </sheetView>
  </sheetViews>
  <sheetFormatPr defaultRowHeight="14.5" x14ac:dyDescent="0.35"/>
  <cols>
    <col min="1" max="1" width="12.453125" bestFit="1" customWidth="1"/>
    <col min="2" max="2" width="15" bestFit="1" customWidth="1"/>
  </cols>
  <sheetData>
    <row r="3" spans="1:2" x14ac:dyDescent="0.35">
      <c r="A3" s="15" t="s">
        <v>3</v>
      </c>
      <c r="B3" t="s">
        <v>31</v>
      </c>
    </row>
    <row r="4" spans="1:2" x14ac:dyDescent="0.35">
      <c r="A4" s="16" t="s">
        <v>5</v>
      </c>
      <c r="B4" s="1">
        <v>2054916.6666666667</v>
      </c>
    </row>
    <row r="5" spans="1:2" x14ac:dyDescent="0.35">
      <c r="A5" s="16" t="s">
        <v>6</v>
      </c>
      <c r="B5" s="1">
        <v>2063626.4705882352</v>
      </c>
    </row>
    <row r="6" spans="1:2" x14ac:dyDescent="0.35">
      <c r="A6" s="16" t="s">
        <v>30</v>
      </c>
      <c r="B6" s="1">
        <v>2059147.142857143</v>
      </c>
    </row>
    <row r="8" spans="1:2" x14ac:dyDescent="0.35">
      <c r="A8" s="15" t="s">
        <v>7</v>
      </c>
      <c r="B8" t="s">
        <v>32</v>
      </c>
    </row>
    <row r="9" spans="1:2" x14ac:dyDescent="0.35">
      <c r="A9" s="16" t="s">
        <v>24</v>
      </c>
      <c r="B9">
        <v>19</v>
      </c>
    </row>
    <row r="10" spans="1:2" x14ac:dyDescent="0.35">
      <c r="A10" s="16" t="s">
        <v>26</v>
      </c>
      <c r="B10">
        <v>12</v>
      </c>
    </row>
    <row r="11" spans="1:2" x14ac:dyDescent="0.35">
      <c r="A11" s="16" t="s">
        <v>25</v>
      </c>
      <c r="B11">
        <v>4</v>
      </c>
    </row>
    <row r="12" spans="1:2" x14ac:dyDescent="0.35">
      <c r="A12" s="16" t="s">
        <v>30</v>
      </c>
      <c r="B12">
        <v>35</v>
      </c>
    </row>
    <row r="14" spans="1:2" x14ac:dyDescent="0.35">
      <c r="A14" s="15" t="s">
        <v>33</v>
      </c>
      <c r="B14" t="s">
        <v>31</v>
      </c>
    </row>
    <row r="15" spans="1:2" x14ac:dyDescent="0.35">
      <c r="A15" s="16">
        <v>1</v>
      </c>
      <c r="B15" s="1">
        <v>17250</v>
      </c>
    </row>
    <row r="16" spans="1:2" x14ac:dyDescent="0.35">
      <c r="A16" s="16">
        <v>2</v>
      </c>
      <c r="B16" s="1">
        <v>12520</v>
      </c>
    </row>
    <row r="17" spans="1:2" x14ac:dyDescent="0.35">
      <c r="A17" s="16">
        <v>3</v>
      </c>
      <c r="B17" s="1">
        <v>95000</v>
      </c>
    </row>
    <row r="18" spans="1:2" x14ac:dyDescent="0.35">
      <c r="A18" s="16">
        <v>4</v>
      </c>
      <c r="B18" s="1">
        <v>92725</v>
      </c>
    </row>
    <row r="19" spans="1:2" x14ac:dyDescent="0.35">
      <c r="A19" s="16">
        <v>5</v>
      </c>
      <c r="B19" s="1">
        <v>3547500</v>
      </c>
    </row>
    <row r="20" spans="1:2" x14ac:dyDescent="0.35">
      <c r="A20" s="16">
        <v>6</v>
      </c>
      <c r="B20" s="1">
        <v>1400000</v>
      </c>
    </row>
    <row r="21" spans="1:2" x14ac:dyDescent="0.35">
      <c r="A21" s="16">
        <v>10</v>
      </c>
      <c r="B21" s="1">
        <v>350375</v>
      </c>
    </row>
    <row r="22" spans="1:2" x14ac:dyDescent="0.35">
      <c r="A22" s="16">
        <v>11</v>
      </c>
      <c r="B22" s="1">
        <v>220100</v>
      </c>
    </row>
    <row r="23" spans="1:2" x14ac:dyDescent="0.35">
      <c r="A23" s="16">
        <v>14</v>
      </c>
      <c r="B23" s="1">
        <v>6000050</v>
      </c>
    </row>
    <row r="24" spans="1:2" x14ac:dyDescent="0.35">
      <c r="A24" s="16">
        <v>15</v>
      </c>
      <c r="B24" s="1">
        <v>4005000</v>
      </c>
    </row>
    <row r="25" spans="1:2" x14ac:dyDescent="0.35">
      <c r="A25" s="16">
        <v>16</v>
      </c>
      <c r="B25" s="1">
        <v>7600000</v>
      </c>
    </row>
    <row r="26" spans="1:2" x14ac:dyDescent="0.35">
      <c r="A26" s="16">
        <v>19</v>
      </c>
      <c r="B26" s="1">
        <v>5033333.333333333</v>
      </c>
    </row>
    <row r="27" spans="1:2" x14ac:dyDescent="0.35">
      <c r="A27" s="16">
        <v>20</v>
      </c>
      <c r="B27" s="1">
        <v>1540000</v>
      </c>
    </row>
    <row r="28" spans="1:2" x14ac:dyDescent="0.35">
      <c r="A28" s="16">
        <v>25</v>
      </c>
      <c r="B28" s="1">
        <v>5001000</v>
      </c>
    </row>
    <row r="29" spans="1:2" x14ac:dyDescent="0.35">
      <c r="A29" s="16">
        <v>27</v>
      </c>
      <c r="B29" s="1">
        <v>10000000</v>
      </c>
    </row>
    <row r="30" spans="1:2" x14ac:dyDescent="0.35">
      <c r="A30" s="16" t="s">
        <v>30</v>
      </c>
      <c r="B30" s="1">
        <v>2059147.142857143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3B1A-EB56-4DDF-ADB3-DD1BC82DD166}">
  <dimension ref="H2:N2"/>
  <sheetViews>
    <sheetView showGridLines="0" topLeftCell="A4" zoomScaleNormal="100" workbookViewId="0">
      <selection activeCell="S29" sqref="S29"/>
    </sheetView>
  </sheetViews>
  <sheetFormatPr defaultRowHeight="14.5" x14ac:dyDescent="0.35"/>
  <sheetData>
    <row r="2" spans="8:14" ht="28" x14ac:dyDescent="0.8">
      <c r="H2" s="22" t="s">
        <v>34</v>
      </c>
      <c r="I2" s="22"/>
      <c r="J2" s="22"/>
      <c r="K2" s="22"/>
      <c r="L2" s="22"/>
      <c r="M2" s="22"/>
      <c r="N2" s="22"/>
    </row>
  </sheetData>
  <mergeCells count="1">
    <mergeCell ref="H2:N2"/>
  </mergeCells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F29026-9D9E-41E1-8743-051EF18A1B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Employee_Salary_Dataset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 PAWAR</dc:creator>
  <cp:lastModifiedBy>ANUP PAWAR</cp:lastModifiedBy>
  <cp:lastPrinted>2025-12-07T03:40:27Z</cp:lastPrinted>
  <dcterms:created xsi:type="dcterms:W3CDTF">2025-12-07T02:35:02Z</dcterms:created>
  <dcterms:modified xsi:type="dcterms:W3CDTF">2025-12-07T03:51:49Z</dcterms:modified>
</cp:coreProperties>
</file>